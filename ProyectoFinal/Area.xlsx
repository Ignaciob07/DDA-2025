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estria\DDA-2025\ProyectoFinal\"/>
    </mc:Choice>
  </mc:AlternateContent>
  <xr:revisionPtr revIDLastSave="0" documentId="8_{B4D4BDF2-422A-4E78-BF37-F91C1720D28E}" xr6:coauthVersionLast="47" xr6:coauthVersionMax="47" xr10:uidLastSave="{00000000-0000-0000-0000-000000000000}"/>
  <bookViews>
    <workbookView xWindow="-120" yWindow="-120" windowWidth="29040" windowHeight="15720" xr2:uid="{8782D171-B38F-413A-8BC0-2ADCA4EE66E6}"/>
  </bookViews>
  <sheets>
    <sheet name="Sheet1" sheetId="1" r:id="rId1"/>
  </sheets>
  <definedNames>
    <definedName name="_xlchart.v1.0" hidden="1">Sheet1!$A$2:$A$10</definedName>
    <definedName name="_xlchart.v1.1" hidden="1">Sheet1!$B$2:$B$10</definedName>
    <definedName name="_xlchart.v1.2" hidden="1">Sheet1!$G$2:$G$10</definedName>
    <definedName name="_xlchart.v1.3" hidden="1">Sheet1!$H$2</definedName>
    <definedName name="_xlchart.v1.4" hidden="1">Sheet1!$M$8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  <c r="F9" i="1"/>
  <c r="F10" i="1"/>
  <c r="C10" i="1"/>
  <c r="C9" i="1"/>
  <c r="C8" i="1"/>
  <c r="F8" i="1" s="1"/>
  <c r="C7" i="1"/>
  <c r="C6" i="1"/>
  <c r="F6" i="1" s="1"/>
  <c r="C5" i="1"/>
  <c r="C3" i="1"/>
  <c r="C4" i="1"/>
  <c r="C2" i="1"/>
  <c r="F7" i="1" l="1"/>
  <c r="F5" i="1"/>
  <c r="G9" i="1"/>
  <c r="H9" i="1" s="1"/>
  <c r="G7" i="1"/>
  <c r="H7" i="1" s="1"/>
  <c r="F4" i="1"/>
  <c r="G5" i="1"/>
  <c r="H5" i="1" s="1"/>
  <c r="F2" i="1"/>
  <c r="G8" i="1"/>
  <c r="H8" i="1" s="1"/>
  <c r="G10" i="1"/>
  <c r="H10" i="1" s="1"/>
  <c r="F3" i="1"/>
  <c r="G6" i="1"/>
  <c r="H6" i="1" s="1"/>
  <c r="G4" i="1" l="1"/>
  <c r="H4" i="1" s="1"/>
  <c r="G2" i="1"/>
  <c r="H2" i="1" s="1"/>
  <c r="G3" i="1"/>
  <c r="H3" i="1" s="1"/>
</calcChain>
</file>

<file path=xl/sharedStrings.xml><?xml version="1.0" encoding="utf-8"?>
<sst xmlns="http://schemas.openxmlformats.org/spreadsheetml/2006/main" count="9" uniqueCount="9">
  <si>
    <t>NB_DATA_IN</t>
  </si>
  <si>
    <t>NB_INDEX</t>
  </si>
  <si>
    <t>NB_DATA_LUT</t>
  </si>
  <si>
    <t>SIZE LUT (B)</t>
  </si>
  <si>
    <t>FULL SIZE (B)</t>
  </si>
  <si>
    <t>Max FF</t>
  </si>
  <si>
    <t>FULL SIZE (Kb)</t>
  </si>
  <si>
    <t>SIZE LUT (Kb)</t>
  </si>
  <si>
    <t>Max RAM (kb)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</si>
</sst>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1" fillId="4" borderId="1" xfId="0" applyFont="1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Size</a:t>
            </a:r>
            <a:r>
              <a:rPr lang="es-AR" baseline="0"/>
              <a:t> Comparision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Sheet1!$G$2:$G$10</c:f>
              <c:numCache>
                <c:formatCode>General</c:formatCode>
                <c:ptCount val="9"/>
                <c:pt idx="0">
                  <c:v>147.45600000000002</c:v>
                </c:pt>
                <c:pt idx="1">
                  <c:v>36.864000000000004</c:v>
                </c:pt>
                <c:pt idx="2">
                  <c:v>9.2160000000000011</c:v>
                </c:pt>
                <c:pt idx="3">
                  <c:v>131.072</c:v>
                </c:pt>
                <c:pt idx="4">
                  <c:v>32.768000000000001</c:v>
                </c:pt>
                <c:pt idx="5">
                  <c:v>8.1920000000000002</c:v>
                </c:pt>
                <c:pt idx="6">
                  <c:v>114.688</c:v>
                </c:pt>
                <c:pt idx="7">
                  <c:v>28.672000000000001</c:v>
                </c:pt>
                <c:pt idx="8">
                  <c:v>7.1680000000000001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0-48CE-89BE-9A09D3C1EB0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Sheet1!$J$2:$J$10</c:f>
              <c:numCache>
                <c:formatCode>General</c:formatCode>
                <c:ptCount val="9"/>
                <c:pt idx="0">
                  <c:v>1800</c:v>
                </c:pt>
                <c:pt idx="1">
                  <c:v>1800</c:v>
                </c:pt>
                <c:pt idx="2">
                  <c:v>1800</c:v>
                </c:pt>
                <c:pt idx="3">
                  <c:v>1800</c:v>
                </c:pt>
                <c:pt idx="4">
                  <c:v>1800</c:v>
                </c:pt>
                <c:pt idx="5">
                  <c:v>1800</c:v>
                </c:pt>
                <c:pt idx="6">
                  <c:v>1800</c:v>
                </c:pt>
                <c:pt idx="7">
                  <c:v>1800</c:v>
                </c:pt>
                <c:pt idx="8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80-48CE-89BE-9A09D3C1EB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85257071"/>
        <c:axId val="1244012063"/>
      </c:barChart>
      <c:catAx>
        <c:axId val="1385257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44012063"/>
        <c:crosses val="autoZero"/>
        <c:auto val="1"/>
        <c:lblAlgn val="ctr"/>
        <c:lblOffset val="100"/>
        <c:noMultiLvlLbl val="0"/>
      </c:catAx>
      <c:valAx>
        <c:axId val="124401206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Kbits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8525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10</xdr:row>
      <xdr:rowOff>133349</xdr:rowOff>
    </xdr:from>
    <xdr:to>
      <xdr:col>9</xdr:col>
      <xdr:colOff>676275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D3428A-8AF7-56DD-B362-D58ED2C76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01D3-FDA7-4D5A-AA7E-DDD7F32D021C}">
  <dimension ref="A1:J10"/>
  <sheetViews>
    <sheetView tabSelected="1" workbookViewId="0">
      <selection activeCell="L19" sqref="L19"/>
    </sheetView>
  </sheetViews>
  <sheetFormatPr defaultRowHeight="15" x14ac:dyDescent="0.25"/>
  <cols>
    <col min="2" max="2" width="12.7109375" customWidth="1"/>
    <col min="3" max="3" width="10.85546875" customWidth="1"/>
    <col min="4" max="4" width="12.7109375" customWidth="1"/>
    <col min="5" max="5" width="12" customWidth="1"/>
    <col min="6" max="6" width="12.7109375" customWidth="1"/>
    <col min="7" max="7" width="13.140625" customWidth="1"/>
    <col min="8" max="8" width="12.140625" customWidth="1"/>
    <col min="10" max="10" width="12.85546875" customWidth="1"/>
  </cols>
  <sheetData>
    <row r="1" spans="1:10" x14ac:dyDescent="0.25">
      <c r="A1" s="7"/>
      <c r="B1" s="5" t="s">
        <v>0</v>
      </c>
      <c r="C1" s="5" t="s">
        <v>1</v>
      </c>
      <c r="D1" s="5" t="s">
        <v>2</v>
      </c>
      <c r="E1" s="6" t="s">
        <v>7</v>
      </c>
      <c r="F1" s="6" t="s">
        <v>3</v>
      </c>
      <c r="G1" s="6" t="s">
        <v>6</v>
      </c>
      <c r="H1" s="6" t="s">
        <v>4</v>
      </c>
      <c r="I1" s="6" t="s">
        <v>5</v>
      </c>
      <c r="J1" s="6" t="s">
        <v>8</v>
      </c>
    </row>
    <row r="2" spans="1:10" x14ac:dyDescent="0.25">
      <c r="A2" s="7">
        <v>0</v>
      </c>
      <c r="B2" s="2">
        <v>7</v>
      </c>
      <c r="C2" s="2">
        <f>B2*2</f>
        <v>14</v>
      </c>
      <c r="D2" s="2">
        <v>9</v>
      </c>
      <c r="E2" s="1">
        <f>2^(C2)/1000</f>
        <v>16.384</v>
      </c>
      <c r="F2" s="1">
        <f>E2/8</f>
        <v>2.048</v>
      </c>
      <c r="G2" s="4">
        <f>E2*D2</f>
        <v>147.45600000000002</v>
      </c>
      <c r="H2" s="3">
        <f>G2/8</f>
        <v>18.432000000000002</v>
      </c>
      <c r="I2" s="3">
        <v>4600</v>
      </c>
      <c r="J2" s="3">
        <v>1800</v>
      </c>
    </row>
    <row r="3" spans="1:10" x14ac:dyDescent="0.25">
      <c r="A3" s="7">
        <v>1</v>
      </c>
      <c r="B3" s="2">
        <v>6</v>
      </c>
      <c r="C3" s="2">
        <f t="shared" ref="C3:C10" si="0">B3*2</f>
        <v>12</v>
      </c>
      <c r="D3" s="2">
        <v>9</v>
      </c>
      <c r="E3" s="1">
        <f t="shared" ref="E3:E10" si="1">2^(C3)/1000</f>
        <v>4.0960000000000001</v>
      </c>
      <c r="F3" s="1">
        <f t="shared" ref="F3:F10" si="2">E3/8</f>
        <v>0.51200000000000001</v>
      </c>
      <c r="G3" s="1">
        <f>E3*D3</f>
        <v>36.864000000000004</v>
      </c>
      <c r="H3" s="3">
        <f t="shared" ref="H3:H10" si="3">G3/8</f>
        <v>4.6080000000000005</v>
      </c>
      <c r="I3" s="3">
        <v>4600</v>
      </c>
      <c r="J3" s="3">
        <v>1800</v>
      </c>
    </row>
    <row r="4" spans="1:10" x14ac:dyDescent="0.25">
      <c r="A4" s="7">
        <v>2</v>
      </c>
      <c r="B4" s="2">
        <v>5</v>
      </c>
      <c r="C4" s="2">
        <f t="shared" si="0"/>
        <v>10</v>
      </c>
      <c r="D4" s="2">
        <v>9</v>
      </c>
      <c r="E4" s="1">
        <f t="shared" si="1"/>
        <v>1.024</v>
      </c>
      <c r="F4" s="1">
        <f t="shared" si="2"/>
        <v>0.128</v>
      </c>
      <c r="G4" s="1">
        <f>E4*D4</f>
        <v>9.2160000000000011</v>
      </c>
      <c r="H4" s="3">
        <f t="shared" si="3"/>
        <v>1.1520000000000001</v>
      </c>
      <c r="I4" s="3">
        <v>4600</v>
      </c>
      <c r="J4" s="3">
        <v>1800</v>
      </c>
    </row>
    <row r="5" spans="1:10" x14ac:dyDescent="0.25">
      <c r="A5" s="7">
        <v>3</v>
      </c>
      <c r="B5" s="2">
        <v>7</v>
      </c>
      <c r="C5" s="2">
        <f>B5*2</f>
        <v>14</v>
      </c>
      <c r="D5" s="2">
        <v>8</v>
      </c>
      <c r="E5" s="1">
        <f t="shared" si="1"/>
        <v>16.384</v>
      </c>
      <c r="F5" s="1">
        <f t="shared" si="2"/>
        <v>2.048</v>
      </c>
      <c r="G5" s="1">
        <f>E5*D5</f>
        <v>131.072</v>
      </c>
      <c r="H5" s="3">
        <f t="shared" si="3"/>
        <v>16.384</v>
      </c>
      <c r="I5" s="3">
        <v>4600</v>
      </c>
      <c r="J5" s="3">
        <v>1800</v>
      </c>
    </row>
    <row r="6" spans="1:10" x14ac:dyDescent="0.25">
      <c r="A6" s="7">
        <v>4</v>
      </c>
      <c r="B6" s="2">
        <v>6</v>
      </c>
      <c r="C6" s="2">
        <f t="shared" si="0"/>
        <v>12</v>
      </c>
      <c r="D6" s="2">
        <v>8</v>
      </c>
      <c r="E6" s="1">
        <f t="shared" si="1"/>
        <v>4.0960000000000001</v>
      </c>
      <c r="F6" s="1">
        <f t="shared" si="2"/>
        <v>0.51200000000000001</v>
      </c>
      <c r="G6" s="1">
        <f>E6*D6</f>
        <v>32.768000000000001</v>
      </c>
      <c r="H6" s="3">
        <f t="shared" si="3"/>
        <v>4.0960000000000001</v>
      </c>
      <c r="I6" s="3">
        <v>4600</v>
      </c>
      <c r="J6" s="3">
        <v>1800</v>
      </c>
    </row>
    <row r="7" spans="1:10" x14ac:dyDescent="0.25">
      <c r="A7" s="7">
        <v>5</v>
      </c>
      <c r="B7" s="2">
        <v>5</v>
      </c>
      <c r="C7" s="2">
        <f t="shared" si="0"/>
        <v>10</v>
      </c>
      <c r="D7" s="2">
        <v>8</v>
      </c>
      <c r="E7" s="1">
        <f t="shared" si="1"/>
        <v>1.024</v>
      </c>
      <c r="F7" s="1">
        <f t="shared" si="2"/>
        <v>0.128</v>
      </c>
      <c r="G7" s="1">
        <f>E7*D7</f>
        <v>8.1920000000000002</v>
      </c>
      <c r="H7" s="3">
        <f t="shared" si="3"/>
        <v>1.024</v>
      </c>
      <c r="I7" s="3">
        <v>4600</v>
      </c>
      <c r="J7" s="3">
        <v>1800</v>
      </c>
    </row>
    <row r="8" spans="1:10" x14ac:dyDescent="0.25">
      <c r="A8" s="7">
        <v>6</v>
      </c>
      <c r="B8" s="2">
        <v>7</v>
      </c>
      <c r="C8" s="2">
        <f>B8*2</f>
        <v>14</v>
      </c>
      <c r="D8" s="2">
        <v>7</v>
      </c>
      <c r="E8" s="1">
        <f t="shared" si="1"/>
        <v>16.384</v>
      </c>
      <c r="F8" s="1">
        <f t="shared" si="2"/>
        <v>2.048</v>
      </c>
      <c r="G8" s="1">
        <f>E8*D8</f>
        <v>114.688</v>
      </c>
      <c r="H8" s="3">
        <f t="shared" si="3"/>
        <v>14.336</v>
      </c>
      <c r="I8" s="3">
        <v>4600</v>
      </c>
      <c r="J8" s="3">
        <v>1800</v>
      </c>
    </row>
    <row r="9" spans="1:10" x14ac:dyDescent="0.25">
      <c r="A9" s="7">
        <v>7</v>
      </c>
      <c r="B9" s="2">
        <v>6</v>
      </c>
      <c r="C9" s="2">
        <f t="shared" si="0"/>
        <v>12</v>
      </c>
      <c r="D9" s="2">
        <v>7</v>
      </c>
      <c r="E9" s="1">
        <f t="shared" si="1"/>
        <v>4.0960000000000001</v>
      </c>
      <c r="F9" s="1">
        <f t="shared" si="2"/>
        <v>0.51200000000000001</v>
      </c>
      <c r="G9" s="1">
        <f>E9*D9</f>
        <v>28.672000000000001</v>
      </c>
      <c r="H9" s="3">
        <f t="shared" si="3"/>
        <v>3.5840000000000001</v>
      </c>
      <c r="I9" s="3">
        <v>4600</v>
      </c>
      <c r="J9" s="3">
        <v>1800</v>
      </c>
    </row>
    <row r="10" spans="1:10" x14ac:dyDescent="0.25">
      <c r="A10" s="7">
        <v>8</v>
      </c>
      <c r="B10" s="2">
        <v>5</v>
      </c>
      <c r="C10" s="2">
        <f t="shared" si="0"/>
        <v>10</v>
      </c>
      <c r="D10" s="2">
        <v>7</v>
      </c>
      <c r="E10" s="1">
        <f t="shared" si="1"/>
        <v>1.024</v>
      </c>
      <c r="F10" s="1">
        <f t="shared" si="2"/>
        <v>0.128</v>
      </c>
      <c r="G10" s="1">
        <f>E10*D10</f>
        <v>7.1680000000000001</v>
      </c>
      <c r="H10" s="3">
        <f t="shared" si="3"/>
        <v>0.89600000000000002</v>
      </c>
      <c r="I10" s="3">
        <v>4600</v>
      </c>
      <c r="J10" s="3">
        <v>1800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Oscar Balbo</dc:creator>
  <cp:lastModifiedBy>Ignacio Oscar Balbo</cp:lastModifiedBy>
  <dcterms:created xsi:type="dcterms:W3CDTF">2025-05-07T10:05:58Z</dcterms:created>
  <dcterms:modified xsi:type="dcterms:W3CDTF">2025-05-07T11:33:05Z</dcterms:modified>
</cp:coreProperties>
</file>